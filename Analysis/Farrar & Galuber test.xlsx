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ti\OneDrive\Desktop\sem 6\econometrics practs\PRCT 5\"/>
    </mc:Choice>
  </mc:AlternateContent>
  <xr:revisionPtr revIDLastSave="0" documentId="13_ncr:1_{D35EA4F7-3C19-489F-81F8-A30E1309D8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arrar &amp; Glauber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1" l="1"/>
  <c r="I29" i="1"/>
  <c r="K30" i="1"/>
  <c r="I28" i="1"/>
  <c r="B28" i="1" l="1" a="1"/>
  <c r="B28" i="1" s="1"/>
  <c r="D28" i="1"/>
  <c r="F28" i="1"/>
  <c r="B29" i="1"/>
  <c r="C29" i="1"/>
  <c r="D29" i="1"/>
  <c r="D30" i="1"/>
  <c r="E30" i="1"/>
  <c r="F30" i="1"/>
  <c r="B31" i="1"/>
  <c r="B32" i="1"/>
  <c r="C32" i="1"/>
  <c r="D32" i="1"/>
  <c r="E32" i="1"/>
  <c r="B22" i="1" a="1"/>
  <c r="B22" i="1" s="1"/>
  <c r="D19" i="1"/>
  <c r="E19" i="1"/>
  <c r="F19" i="1"/>
  <c r="G19" i="1"/>
  <c r="C19" i="1"/>
  <c r="M17" i="1"/>
  <c r="L17" i="1"/>
  <c r="K17" i="1"/>
  <c r="J17" i="1"/>
  <c r="I17" i="1"/>
  <c r="H17" i="1"/>
  <c r="M16" i="1"/>
  <c r="L16" i="1"/>
  <c r="K16" i="1"/>
  <c r="J16" i="1"/>
  <c r="I16" i="1"/>
  <c r="H16" i="1"/>
  <c r="M15" i="1"/>
  <c r="L15" i="1"/>
  <c r="K15" i="1"/>
  <c r="J15" i="1"/>
  <c r="I15" i="1"/>
  <c r="H15" i="1"/>
  <c r="M14" i="1"/>
  <c r="L14" i="1"/>
  <c r="K14" i="1"/>
  <c r="J14" i="1"/>
  <c r="I14" i="1"/>
  <c r="H14" i="1"/>
  <c r="M13" i="1"/>
  <c r="L13" i="1"/>
  <c r="K13" i="1"/>
  <c r="J13" i="1"/>
  <c r="I13" i="1"/>
  <c r="H13" i="1"/>
  <c r="M12" i="1"/>
  <c r="L12" i="1"/>
  <c r="K12" i="1"/>
  <c r="J12" i="1"/>
  <c r="I12" i="1"/>
  <c r="H12" i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L7" i="1"/>
  <c r="K7" i="1"/>
  <c r="J7" i="1"/>
  <c r="I7" i="1"/>
  <c r="H7" i="1"/>
  <c r="M6" i="1"/>
  <c r="L6" i="1"/>
  <c r="K6" i="1"/>
  <c r="J6" i="1"/>
  <c r="I6" i="1"/>
  <c r="H6" i="1"/>
  <c r="M5" i="1"/>
  <c r="L5" i="1"/>
  <c r="K5" i="1"/>
  <c r="J5" i="1"/>
  <c r="I5" i="1"/>
  <c r="H5" i="1"/>
  <c r="M4" i="1"/>
  <c r="L4" i="1"/>
  <c r="K4" i="1"/>
  <c r="J4" i="1"/>
  <c r="I4" i="1"/>
  <c r="H4" i="1"/>
  <c r="M3" i="1"/>
  <c r="L3" i="1"/>
  <c r="K3" i="1"/>
  <c r="J3" i="1"/>
  <c r="I3" i="1"/>
  <c r="H3" i="1"/>
  <c r="M2" i="1"/>
  <c r="L2" i="1"/>
  <c r="K2" i="1"/>
  <c r="J2" i="1"/>
  <c r="I2" i="1"/>
  <c r="H2" i="1"/>
  <c r="F29" i="1" l="1"/>
  <c r="F31" i="1"/>
  <c r="C30" i="1"/>
  <c r="E28" i="1"/>
  <c r="E31" i="1"/>
  <c r="B30" i="1"/>
  <c r="D31" i="1"/>
  <c r="C28" i="1"/>
  <c r="F32" i="1"/>
  <c r="C31" i="1"/>
  <c r="E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<sst xmlns="http://schemas.openxmlformats.org/spreadsheetml/2006/main" count="23" uniqueCount="23">
  <si>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year</t>
  </si>
  <si>
    <t>y</t>
  </si>
  <si>
    <t>x1</t>
  </si>
  <si>
    <t>x2</t>
  </si>
  <si>
    <t>x3</t>
  </si>
  <si>
    <t>x4</t>
  </si>
  <si>
    <t>x5</t>
  </si>
  <si>
    <t>residual</t>
  </si>
  <si>
    <t>std x1</t>
  </si>
  <si>
    <t>std x2</t>
  </si>
  <si>
    <t>std x3</t>
  </si>
  <si>
    <t>std x4</t>
  </si>
  <si>
    <t>std x5</t>
  </si>
  <si>
    <t>means</t>
  </si>
  <si>
    <t>x'</t>
  </si>
  <si>
    <t>x'x</t>
  </si>
  <si>
    <t>determinant</t>
  </si>
  <si>
    <t>chi square</t>
  </si>
  <si>
    <t>n</t>
  </si>
  <si>
    <t>p</t>
  </si>
  <si>
    <t>ln(det)</t>
  </si>
  <si>
    <t>χ² = −[n − 1 − (2p + 5)/6] × ln(det(R))</t>
  </si>
  <si>
    <t>chi-tabulated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</si>
</sst>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zoomScaleNormal="100" workbookViewId="0">
      <selection activeCell="Q14" sqref="Q14"/>
    </sheetView>
  </sheetViews>
  <sheetFormatPr defaultColWidth="8.6640625" defaultRowHeight="14.4" x14ac:dyDescent="0.3"/>
  <cols>
    <col min="1" max="1" width="6" customWidth="1"/>
    <col min="2" max="2" width="7" customWidth="1"/>
    <col min="3" max="3" width="9" customWidth="1"/>
    <col min="4" max="4" width="8" customWidth="1"/>
    <col min="5" max="6" width="6" customWidth="1"/>
    <col min="7" max="7" width="8" customWidth="1"/>
    <col min="8" max="8" width="12.6640625" bestFit="1" customWidth="1"/>
    <col min="9" max="9" width="10.5546875" customWidth="1"/>
    <col min="10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1947</v>
      </c>
      <c r="B2" s="2">
        <v>60323</v>
      </c>
      <c r="C2" s="2">
        <v>830</v>
      </c>
      <c r="D2" s="2">
        <v>234289</v>
      </c>
      <c r="E2" s="2">
        <v>2356</v>
      </c>
      <c r="F2" s="2">
        <v>1590</v>
      </c>
      <c r="G2" s="2">
        <v>107608</v>
      </c>
      <c r="H2" s="3">
        <f t="shared" ref="H2:H17" si="0">B2-(INDEX(LINEST(B$2:B$17,C$2:G$17),1,6)+INDEX(LINEST(B$2:B$17,C$2:G$17),1,5)*C2+INDEX(LINEST(B$2:B$17,C$2:G$17),1,4)*D2+INDEX(LINEST(B$2:B$17,C$2:G$17),1,3)*E2+INDEX(LINEST(B$2:B$17,C$2:G$17),1,2)*F2+INDEX(LINEST(B$2:B$17,C$2:G$17),1,1)*G2)</f>
        <v>277.88155007302703</v>
      </c>
      <c r="I2" s="3">
        <f t="shared" ref="I2:I17" si="1">(C2-AVERAGE(C$2:C$17))/SQRT(DEVSQ(C$2:C$17))</f>
        <v>-0.44696790404963876</v>
      </c>
      <c r="J2" s="3">
        <f t="shared" ref="J2:J17" si="2">(D2-AVERAGE(D$2:D$17))/SQRT(DEVSQ(D$2:D$17))</f>
        <v>-0.39851108333237606</v>
      </c>
      <c r="K2" s="3">
        <f t="shared" ref="K2:K17" si="3">(E2-AVERAGE(E$2:E$17))/SQRT(DEVSQ(E$2:E$17))</f>
        <v>-0.23135519473870569</v>
      </c>
      <c r="L2" s="3">
        <f t="shared" ref="L2:L17" si="4">(F2-AVERAGE(F$2:F$17))/SQRT(DEVSQ(F$2:F$17))</f>
        <v>-0.37720964037782073</v>
      </c>
      <c r="M2" s="3">
        <f t="shared" ref="M2:M17" si="5">(G2-AVERAGE(G$2:G$17))/SQRT(DEVSQ(G$2:G$17))</f>
        <v>-0.36435355052902874</v>
      </c>
    </row>
    <row r="3" spans="1:13" x14ac:dyDescent="0.3">
      <c r="A3" s="2">
        <v>1948</v>
      </c>
      <c r="B3" s="2">
        <v>61122</v>
      </c>
      <c r="C3" s="2">
        <v>885</v>
      </c>
      <c r="D3" s="2">
        <v>259426</v>
      </c>
      <c r="E3" s="2">
        <v>2325</v>
      </c>
      <c r="F3" s="2">
        <v>1456</v>
      </c>
      <c r="G3" s="2">
        <v>108632</v>
      </c>
      <c r="H3" s="3">
        <f t="shared" si="0"/>
        <v>-140.91561045606068</v>
      </c>
      <c r="I3" s="3">
        <f t="shared" si="1"/>
        <v>-0.31537481085335839</v>
      </c>
      <c r="J3" s="3">
        <f t="shared" si="2"/>
        <v>-0.33321263916956179</v>
      </c>
      <c r="K3" s="3">
        <f t="shared" si="3"/>
        <v>-0.23992070765879214</v>
      </c>
      <c r="L3" s="3">
        <f t="shared" si="4"/>
        <v>-0.42692608895285283</v>
      </c>
      <c r="M3" s="3">
        <f t="shared" si="5"/>
        <v>-0.32634437818370216</v>
      </c>
    </row>
    <row r="4" spans="1:13" x14ac:dyDescent="0.3">
      <c r="A4" s="2">
        <v>1949</v>
      </c>
      <c r="B4" s="2">
        <v>60171</v>
      </c>
      <c r="C4" s="2">
        <v>882</v>
      </c>
      <c r="D4" s="2">
        <v>258054</v>
      </c>
      <c r="E4" s="2">
        <v>3682</v>
      </c>
      <c r="F4" s="2">
        <v>1616</v>
      </c>
      <c r="G4" s="2">
        <v>109773</v>
      </c>
      <c r="H4" s="3">
        <f t="shared" si="0"/>
        <v>90.440507612096553</v>
      </c>
      <c r="I4" s="3">
        <f t="shared" si="1"/>
        <v>-0.32255261593679185</v>
      </c>
      <c r="J4" s="3">
        <f t="shared" si="2"/>
        <v>-0.33677668680417933</v>
      </c>
      <c r="K4" s="3">
        <f t="shared" si="3"/>
        <v>0.135027712746282</v>
      </c>
      <c r="L4" s="3">
        <f t="shared" si="4"/>
        <v>-0.36756316528117272</v>
      </c>
      <c r="M4" s="3">
        <f t="shared" si="5"/>
        <v>-0.28399236095126312</v>
      </c>
    </row>
    <row r="5" spans="1:13" x14ac:dyDescent="0.3">
      <c r="A5" s="2">
        <v>1950</v>
      </c>
      <c r="B5" s="2">
        <v>61187</v>
      </c>
      <c r="C5" s="2">
        <v>895</v>
      </c>
      <c r="D5" s="2">
        <v>284599</v>
      </c>
      <c r="E5" s="2">
        <v>3351</v>
      </c>
      <c r="F5" s="2">
        <v>1650</v>
      </c>
      <c r="G5" s="2">
        <v>110929</v>
      </c>
      <c r="H5" s="3">
        <f t="shared" si="0"/>
        <v>-390.14959633116814</v>
      </c>
      <c r="I5" s="3">
        <f t="shared" si="1"/>
        <v>-0.29144879390858014</v>
      </c>
      <c r="J5" s="3">
        <f t="shared" si="2"/>
        <v>-0.26782067772187412</v>
      </c>
      <c r="K5" s="3">
        <f t="shared" si="3"/>
        <v>4.357013930923001E-2</v>
      </c>
      <c r="L5" s="3">
        <f t="shared" si="4"/>
        <v>-0.35494854400094067</v>
      </c>
      <c r="M5" s="3">
        <f t="shared" si="5"/>
        <v>-0.24108356873329681</v>
      </c>
    </row>
    <row r="6" spans="1:13" x14ac:dyDescent="0.3">
      <c r="A6" s="2">
        <v>1951</v>
      </c>
      <c r="B6" s="2">
        <v>63221</v>
      </c>
      <c r="C6" s="2">
        <v>962</v>
      </c>
      <c r="D6" s="2">
        <v>328975</v>
      </c>
      <c r="E6" s="2">
        <v>2099</v>
      </c>
      <c r="F6" s="2">
        <v>3099</v>
      </c>
      <c r="G6" s="2">
        <v>112075</v>
      </c>
      <c r="H6" s="3">
        <f t="shared" si="0"/>
        <v>-457.82769237843604</v>
      </c>
      <c r="I6" s="3">
        <f t="shared" si="1"/>
        <v>-0.1311444803785658</v>
      </c>
      <c r="J6" s="3">
        <f t="shared" si="2"/>
        <v>-0.15254503790132887</v>
      </c>
      <c r="K6" s="3">
        <f t="shared" si="3"/>
        <v>-0.30236605991490617</v>
      </c>
      <c r="L6" s="3">
        <f t="shared" si="4"/>
        <v>0.18265693350071271</v>
      </c>
      <c r="M6" s="3">
        <f t="shared" si="5"/>
        <v>-0.19854595983901535</v>
      </c>
    </row>
    <row r="7" spans="1:13" x14ac:dyDescent="0.3">
      <c r="A7" s="2">
        <v>1952</v>
      </c>
      <c r="B7" s="2">
        <v>63639</v>
      </c>
      <c r="C7" s="2">
        <v>981</v>
      </c>
      <c r="D7" s="2">
        <v>346993</v>
      </c>
      <c r="E7" s="2">
        <v>1932</v>
      </c>
      <c r="F7" s="2">
        <v>3594</v>
      </c>
      <c r="G7" s="2">
        <v>113270</v>
      </c>
      <c r="H7" s="3">
        <f t="shared" si="0"/>
        <v>-552.92360458320763</v>
      </c>
      <c r="I7" s="3">
        <f t="shared" si="1"/>
        <v>-8.5685048183487128E-2</v>
      </c>
      <c r="J7" s="3">
        <f t="shared" si="2"/>
        <v>-0.10573963682221887</v>
      </c>
      <c r="K7" s="3">
        <f t="shared" si="3"/>
        <v>-0.348509306936017</v>
      </c>
      <c r="L7" s="3">
        <f t="shared" si="4"/>
        <v>0.36631097860997319</v>
      </c>
      <c r="M7" s="3">
        <f t="shared" si="5"/>
        <v>-0.1541895526586782</v>
      </c>
    </row>
    <row r="8" spans="1:13" x14ac:dyDescent="0.3">
      <c r="A8" s="2">
        <v>1953</v>
      </c>
      <c r="B8" s="2">
        <v>64989</v>
      </c>
      <c r="C8" s="2">
        <v>990</v>
      </c>
      <c r="D8" s="2">
        <v>365385</v>
      </c>
      <c r="E8" s="2">
        <v>1870</v>
      </c>
      <c r="F8" s="2">
        <v>3547</v>
      </c>
      <c r="G8" s="2">
        <v>115094</v>
      </c>
      <c r="H8" s="3">
        <f t="shared" si="0"/>
        <v>201.07465682714974</v>
      </c>
      <c r="I8" s="3">
        <f t="shared" si="1"/>
        <v>-6.4151632933186695E-2</v>
      </c>
      <c r="J8" s="3">
        <f t="shared" si="2"/>
        <v>-5.7962695061369113E-2</v>
      </c>
      <c r="K8" s="3">
        <f t="shared" si="3"/>
        <v>-0.3656403327761899</v>
      </c>
      <c r="L8" s="3">
        <f t="shared" si="4"/>
        <v>0.34887311978141716</v>
      </c>
      <c r="M8" s="3">
        <f t="shared" si="5"/>
        <v>-8.6485714418565299E-2</v>
      </c>
    </row>
    <row r="9" spans="1:13" x14ac:dyDescent="0.3">
      <c r="A9" s="2">
        <v>1954</v>
      </c>
      <c r="B9" s="2">
        <v>63761</v>
      </c>
      <c r="C9" s="2">
        <v>1000</v>
      </c>
      <c r="D9" s="2">
        <v>363112</v>
      </c>
      <c r="E9" s="2">
        <v>3578</v>
      </c>
      <c r="F9" s="2">
        <v>3350</v>
      </c>
      <c r="G9" s="2">
        <v>116219</v>
      </c>
      <c r="H9" s="3">
        <f t="shared" si="0"/>
        <v>218.55086415048572</v>
      </c>
      <c r="I9" s="3">
        <f t="shared" si="1"/>
        <v>-4.0225615988408438E-2</v>
      </c>
      <c r="J9" s="3">
        <f t="shared" si="2"/>
        <v>-6.3867272520177917E-2</v>
      </c>
      <c r="K9" s="3">
        <f t="shared" si="3"/>
        <v>0.10629179843373394</v>
      </c>
      <c r="L9" s="3">
        <f t="shared" si="4"/>
        <v>0.27578252001066095</v>
      </c>
      <c r="M9" s="3">
        <f t="shared" si="5"/>
        <v>-4.4727590504021968E-2</v>
      </c>
    </row>
    <row r="10" spans="1:13" x14ac:dyDescent="0.3">
      <c r="A10" s="2">
        <v>1955</v>
      </c>
      <c r="B10" s="2">
        <v>66019</v>
      </c>
      <c r="C10" s="2">
        <v>1012</v>
      </c>
      <c r="D10" s="2">
        <v>397469</v>
      </c>
      <c r="E10" s="2">
        <v>2904</v>
      </c>
      <c r="F10" s="2">
        <v>3048</v>
      </c>
      <c r="G10" s="2">
        <v>117388</v>
      </c>
      <c r="H10" s="3">
        <f t="shared" si="0"/>
        <v>90.981159212940838</v>
      </c>
      <c r="I10" s="3">
        <f t="shared" si="1"/>
        <v>-1.1514395654674535E-2</v>
      </c>
      <c r="J10" s="3">
        <f t="shared" si="2"/>
        <v>2.5381987379643482E-2</v>
      </c>
      <c r="K10" s="3">
        <f t="shared" si="3"/>
        <v>-7.9939030861048643E-2</v>
      </c>
      <c r="L10" s="3">
        <f t="shared" si="4"/>
        <v>0.16373500158036466</v>
      </c>
      <c r="M10" s="3">
        <f t="shared" si="5"/>
        <v>-1.3362599652653865E-3</v>
      </c>
    </row>
    <row r="11" spans="1:13" x14ac:dyDescent="0.3">
      <c r="A11" s="2">
        <v>1956</v>
      </c>
      <c r="B11" s="2">
        <v>67857</v>
      </c>
      <c r="C11" s="2">
        <v>1046</v>
      </c>
      <c r="D11" s="2">
        <v>419180</v>
      </c>
      <c r="E11" s="2">
        <v>2822</v>
      </c>
      <c r="F11" s="2">
        <v>2857</v>
      </c>
      <c r="G11" s="2">
        <v>118734</v>
      </c>
      <c r="H11" s="3">
        <f t="shared" si="0"/>
        <v>933.4948840848956</v>
      </c>
      <c r="I11" s="3">
        <f t="shared" si="1"/>
        <v>6.9834061957571525E-2</v>
      </c>
      <c r="J11" s="3">
        <f t="shared" si="2"/>
        <v>8.1780703265344284E-2</v>
      </c>
      <c r="K11" s="3">
        <f t="shared" si="3"/>
        <v>-0.10259619406901922</v>
      </c>
      <c r="L11" s="3">
        <f t="shared" si="4"/>
        <v>9.2870511447296494E-2</v>
      </c>
      <c r="M11" s="3">
        <f t="shared" si="5"/>
        <v>4.8625015402712676E-2</v>
      </c>
    </row>
    <row r="12" spans="1:13" x14ac:dyDescent="0.3">
      <c r="A12" s="2">
        <v>1957</v>
      </c>
      <c r="B12" s="2">
        <v>68169</v>
      </c>
      <c r="C12" s="2">
        <v>1084</v>
      </c>
      <c r="D12" s="2">
        <v>442769</v>
      </c>
      <c r="E12" s="2">
        <v>2936</v>
      </c>
      <c r="F12" s="2">
        <v>2798</v>
      </c>
      <c r="G12" s="2">
        <v>120445</v>
      </c>
      <c r="H12" s="3">
        <f t="shared" si="0"/>
        <v>434.60157346108463</v>
      </c>
      <c r="I12" s="3">
        <f t="shared" si="1"/>
        <v>0.16075292634772889</v>
      </c>
      <c r="J12" s="3">
        <f t="shared" si="2"/>
        <v>0.14305790417860467</v>
      </c>
      <c r="K12" s="3">
        <f t="shared" si="3"/>
        <v>-7.1097211072572317E-2</v>
      </c>
      <c r="L12" s="3">
        <f t="shared" si="4"/>
        <v>7.098043334336443E-2</v>
      </c>
      <c r="M12" s="3">
        <f t="shared" si="5"/>
        <v>0.11213448208518702</v>
      </c>
    </row>
    <row r="13" spans="1:13" x14ac:dyDescent="0.3">
      <c r="A13" s="2">
        <v>1958</v>
      </c>
      <c r="B13" s="2">
        <v>66513</v>
      </c>
      <c r="C13" s="2">
        <v>1108</v>
      </c>
      <c r="D13" s="2">
        <v>444546</v>
      </c>
      <c r="E13" s="2">
        <v>4681</v>
      </c>
      <c r="F13" s="2">
        <v>2637</v>
      </c>
      <c r="G13" s="2">
        <v>121950</v>
      </c>
      <c r="H13" s="3">
        <f t="shared" si="0"/>
        <v>-11.188840127972071</v>
      </c>
      <c r="I13" s="3">
        <f t="shared" si="1"/>
        <v>0.21817536701519671</v>
      </c>
      <c r="J13" s="3">
        <f t="shared" si="2"/>
        <v>0.14767402126804735</v>
      </c>
      <c r="K13" s="3">
        <f t="shared" si="3"/>
        <v>0.41105827426777725</v>
      </c>
      <c r="L13" s="3">
        <f t="shared" si="4"/>
        <v>1.1246491398736279E-2</v>
      </c>
      <c r="M13" s="3">
        <f t="shared" si="5"/>
        <v>0.16799757229975387</v>
      </c>
    </row>
    <row r="14" spans="1:13" x14ac:dyDescent="0.3">
      <c r="A14" s="2">
        <v>1959</v>
      </c>
      <c r="B14" s="2">
        <v>68655</v>
      </c>
      <c r="C14" s="2">
        <v>1126</v>
      </c>
      <c r="D14" s="2">
        <v>482704</v>
      </c>
      <c r="E14" s="2">
        <v>3813</v>
      </c>
      <c r="F14" s="2">
        <v>2552</v>
      </c>
      <c r="G14" s="2">
        <v>123366</v>
      </c>
      <c r="H14" s="3">
        <f t="shared" si="0"/>
        <v>-356.40494384925114</v>
      </c>
      <c r="I14" s="3">
        <f t="shared" si="1"/>
        <v>0.26124219751579758</v>
      </c>
      <c r="J14" s="3">
        <f t="shared" si="2"/>
        <v>0.24679714782907961</v>
      </c>
      <c r="K14" s="3">
        <f t="shared" si="3"/>
        <v>0.17122391250535696</v>
      </c>
      <c r="L14" s="3">
        <f t="shared" si="4"/>
        <v>-2.0290061801843801E-2</v>
      </c>
      <c r="M14" s="3">
        <f t="shared" si="5"/>
        <v>0.22055713093352575</v>
      </c>
    </row>
    <row r="15" spans="1:13" x14ac:dyDescent="0.3">
      <c r="A15" s="2">
        <v>1960</v>
      </c>
      <c r="B15" s="2">
        <v>69564</v>
      </c>
      <c r="C15" s="2">
        <v>1142</v>
      </c>
      <c r="D15" s="2">
        <v>502601</v>
      </c>
      <c r="E15" s="2">
        <v>3931</v>
      </c>
      <c r="F15" s="2">
        <v>2514</v>
      </c>
      <c r="G15" s="2">
        <v>125368</v>
      </c>
      <c r="H15" s="3">
        <f t="shared" si="0"/>
        <v>31.725376510905335</v>
      </c>
      <c r="I15" s="3">
        <f t="shared" si="1"/>
        <v>0.29952382462744276</v>
      </c>
      <c r="J15" s="3">
        <f t="shared" si="2"/>
        <v>0.29848363163810676</v>
      </c>
      <c r="K15" s="3">
        <f t="shared" si="3"/>
        <v>0.2038281229753634</v>
      </c>
      <c r="L15" s="3">
        <f t="shared" si="4"/>
        <v>-3.4388756173867836E-2</v>
      </c>
      <c r="M15" s="3">
        <f t="shared" si="5"/>
        <v>0.29486803233522862</v>
      </c>
    </row>
    <row r="16" spans="1:13" x14ac:dyDescent="0.3">
      <c r="A16" s="2">
        <v>1961</v>
      </c>
      <c r="B16" s="2">
        <v>69331</v>
      </c>
      <c r="C16" s="2">
        <v>1157</v>
      </c>
      <c r="D16" s="2">
        <v>518173</v>
      </c>
      <c r="E16" s="2">
        <v>4806</v>
      </c>
      <c r="F16" s="2">
        <v>2572</v>
      </c>
      <c r="G16" s="2">
        <v>127852</v>
      </c>
      <c r="H16" s="3">
        <f t="shared" si="0"/>
        <v>138.46351331626647</v>
      </c>
      <c r="I16" s="3">
        <f t="shared" si="1"/>
        <v>0.33541285004461013</v>
      </c>
      <c r="J16" s="3">
        <f t="shared" si="2"/>
        <v>0.33893505275054436</v>
      </c>
      <c r="K16" s="3">
        <f t="shared" si="3"/>
        <v>0.44559663281651291</v>
      </c>
      <c r="L16" s="3">
        <f t="shared" si="4"/>
        <v>-1.2869696342883784E-2</v>
      </c>
      <c r="M16" s="3">
        <f t="shared" si="5"/>
        <v>0.38706996993854031</v>
      </c>
    </row>
    <row r="17" spans="1:17" x14ac:dyDescent="0.3">
      <c r="A17" s="2">
        <v>1962</v>
      </c>
      <c r="B17" s="2">
        <v>70551</v>
      </c>
      <c r="C17" s="2">
        <v>1169</v>
      </c>
      <c r="D17" s="2">
        <v>554894</v>
      </c>
      <c r="E17" s="2">
        <v>4007</v>
      </c>
      <c r="F17" s="2">
        <v>2827</v>
      </c>
      <c r="G17" s="2">
        <v>130081</v>
      </c>
      <c r="H17" s="3">
        <f t="shared" si="0"/>
        <v>-507.80379752269073</v>
      </c>
      <c r="I17" s="3">
        <f t="shared" si="1"/>
        <v>0.36412407037834404</v>
      </c>
      <c r="J17" s="3">
        <f t="shared" si="2"/>
        <v>0.43432528102371554</v>
      </c>
      <c r="K17" s="3">
        <f t="shared" si="3"/>
        <v>0.22482744497299467</v>
      </c>
      <c r="L17" s="3">
        <f t="shared" si="4"/>
        <v>8.1739963258856463E-2</v>
      </c>
      <c r="M17" s="3">
        <f t="shared" si="5"/>
        <v>0.46980673278788881</v>
      </c>
    </row>
    <row r="19" spans="1:17" x14ac:dyDescent="0.3">
      <c r="B19" s="6" t="s">
        <v>13</v>
      </c>
      <c r="C19" s="4">
        <f>AVERAGE(C$2:C$17)</f>
        <v>1016.8125</v>
      </c>
      <c r="D19" s="4">
        <f t="shared" ref="D19:G19" si="6">AVERAGE(D$2:D$17)</f>
        <v>387698.0625</v>
      </c>
      <c r="E19" s="4">
        <f t="shared" si="6"/>
        <v>3193.3125</v>
      </c>
      <c r="F19" s="4">
        <f t="shared" si="6"/>
        <v>2606.6875</v>
      </c>
      <c r="G19" s="4">
        <f t="shared" si="6"/>
        <v>117424</v>
      </c>
    </row>
    <row r="22" spans="1:17" x14ac:dyDescent="0.3">
      <c r="A22" s="6" t="s">
        <v>14</v>
      </c>
      <c r="B22" s="4" cm="1">
        <f t="array" ref="B22:Q26">TRANSPOSE(I2:M17)</f>
        <v>-0.44696790404963876</v>
      </c>
      <c r="C22" s="4">
        <v>-0.31537481085335839</v>
      </c>
      <c r="D22" s="4">
        <v>-0.32255261593679185</v>
      </c>
      <c r="E22" s="4">
        <v>-0.29144879390858014</v>
      </c>
      <c r="F22" s="4">
        <v>-0.1311444803785658</v>
      </c>
      <c r="G22" s="4">
        <v>-8.5685048183487128E-2</v>
      </c>
      <c r="H22" s="4">
        <v>-6.4151632933186695E-2</v>
      </c>
      <c r="I22" s="4">
        <v>-4.0225615988408438E-2</v>
      </c>
      <c r="J22" s="4">
        <v>-1.1514395654674535E-2</v>
      </c>
      <c r="K22" s="4">
        <v>6.9834061957571525E-2</v>
      </c>
      <c r="L22" s="4">
        <v>0.16075292634772889</v>
      </c>
      <c r="M22" s="4">
        <v>0.21817536701519671</v>
      </c>
      <c r="N22" s="4">
        <v>0.26124219751579758</v>
      </c>
      <c r="O22" s="4">
        <v>0.29952382462744276</v>
      </c>
      <c r="P22" s="4">
        <v>0.33541285004461013</v>
      </c>
      <c r="Q22" s="4">
        <v>0.36412407037834404</v>
      </c>
    </row>
    <row r="23" spans="1:17" x14ac:dyDescent="0.3">
      <c r="A23" s="4"/>
      <c r="B23" s="4">
        <v>-0.39851108333237606</v>
      </c>
      <c r="C23" s="4">
        <v>-0.33321263916956179</v>
      </c>
      <c r="D23" s="4">
        <v>-0.33677668680417933</v>
      </c>
      <c r="E23" s="4">
        <v>-0.26782067772187412</v>
      </c>
      <c r="F23" s="4">
        <v>-0.15254503790132887</v>
      </c>
      <c r="G23" s="4">
        <v>-0.10573963682221887</v>
      </c>
      <c r="H23" s="4">
        <v>-5.7962695061369113E-2</v>
      </c>
      <c r="I23" s="4">
        <v>-6.3867272520177917E-2</v>
      </c>
      <c r="J23" s="4">
        <v>2.5381987379643482E-2</v>
      </c>
      <c r="K23" s="4">
        <v>8.1780703265344284E-2</v>
      </c>
      <c r="L23" s="4">
        <v>0.14305790417860467</v>
      </c>
      <c r="M23" s="4">
        <v>0.14767402126804735</v>
      </c>
      <c r="N23" s="4">
        <v>0.24679714782907961</v>
      </c>
      <c r="O23" s="4">
        <v>0.29848363163810676</v>
      </c>
      <c r="P23" s="4">
        <v>0.33893505275054436</v>
      </c>
      <c r="Q23" s="4">
        <v>0.43432528102371554</v>
      </c>
    </row>
    <row r="24" spans="1:17" x14ac:dyDescent="0.3">
      <c r="A24" s="4"/>
      <c r="B24" s="4">
        <v>-0.23135519473870569</v>
      </c>
      <c r="C24" s="4">
        <v>-0.23992070765879214</v>
      </c>
      <c r="D24" s="4">
        <v>0.135027712746282</v>
      </c>
      <c r="E24" s="4">
        <v>4.357013930923001E-2</v>
      </c>
      <c r="F24" s="4">
        <v>-0.30236605991490617</v>
      </c>
      <c r="G24" s="4">
        <v>-0.348509306936017</v>
      </c>
      <c r="H24" s="4">
        <v>-0.3656403327761899</v>
      </c>
      <c r="I24" s="4">
        <v>0.10629179843373394</v>
      </c>
      <c r="J24" s="4">
        <v>-7.9939030861048643E-2</v>
      </c>
      <c r="K24" s="4">
        <v>-0.10259619406901922</v>
      </c>
      <c r="L24" s="4">
        <v>-7.1097211072572317E-2</v>
      </c>
      <c r="M24" s="4">
        <v>0.41105827426777725</v>
      </c>
      <c r="N24" s="4">
        <v>0.17122391250535696</v>
      </c>
      <c r="O24" s="4">
        <v>0.2038281229753634</v>
      </c>
      <c r="P24" s="4">
        <v>0.44559663281651291</v>
      </c>
      <c r="Q24" s="4">
        <v>0.22482744497299467</v>
      </c>
    </row>
    <row r="25" spans="1:17" x14ac:dyDescent="0.3">
      <c r="A25" s="4"/>
      <c r="B25" s="4">
        <v>-0.37720964037782073</v>
      </c>
      <c r="C25" s="4">
        <v>-0.42692608895285283</v>
      </c>
      <c r="D25" s="4">
        <v>-0.36756316528117272</v>
      </c>
      <c r="E25" s="4">
        <v>-0.35494854400094067</v>
      </c>
      <c r="F25" s="4">
        <v>0.18265693350071271</v>
      </c>
      <c r="G25" s="4">
        <v>0.36631097860997319</v>
      </c>
      <c r="H25" s="4">
        <v>0.34887311978141716</v>
      </c>
      <c r="I25" s="4">
        <v>0.27578252001066095</v>
      </c>
      <c r="J25" s="4">
        <v>0.16373500158036466</v>
      </c>
      <c r="K25" s="4">
        <v>9.2870511447296494E-2</v>
      </c>
      <c r="L25" s="4">
        <v>7.098043334336443E-2</v>
      </c>
      <c r="M25" s="4">
        <v>1.1246491398736279E-2</v>
      </c>
      <c r="N25" s="4">
        <v>-2.0290061801843801E-2</v>
      </c>
      <c r="O25" s="4">
        <v>-3.4388756173867836E-2</v>
      </c>
      <c r="P25" s="4">
        <v>-1.2869696342883784E-2</v>
      </c>
      <c r="Q25" s="4">
        <v>8.1739963258856463E-2</v>
      </c>
    </row>
    <row r="26" spans="1:17" x14ac:dyDescent="0.3">
      <c r="A26" s="4"/>
      <c r="B26" s="4">
        <v>-0.36435355052902874</v>
      </c>
      <c r="C26" s="4">
        <v>-0.32634437818370216</v>
      </c>
      <c r="D26" s="4">
        <v>-0.28399236095126312</v>
      </c>
      <c r="E26" s="4">
        <v>-0.24108356873329681</v>
      </c>
      <c r="F26" s="4">
        <v>-0.19854595983901535</v>
      </c>
      <c r="G26" s="4">
        <v>-0.1541895526586782</v>
      </c>
      <c r="H26" s="4">
        <v>-8.6485714418565299E-2</v>
      </c>
      <c r="I26" s="4">
        <v>-4.4727590504021968E-2</v>
      </c>
      <c r="J26" s="4">
        <v>-1.3362599652653865E-3</v>
      </c>
      <c r="K26" s="4">
        <v>4.8625015402712676E-2</v>
      </c>
      <c r="L26" s="4">
        <v>0.11213448208518702</v>
      </c>
      <c r="M26" s="4">
        <v>0.16799757229975387</v>
      </c>
      <c r="N26" s="4">
        <v>0.22055713093352575</v>
      </c>
      <c r="O26" s="4">
        <v>0.29486803233522862</v>
      </c>
      <c r="P26" s="4">
        <v>0.38706996993854031</v>
      </c>
      <c r="Q26" s="4">
        <v>0.46980673278788881</v>
      </c>
    </row>
    <row r="28" spans="1:17" x14ac:dyDescent="0.3">
      <c r="A28" s="6" t="s">
        <v>15</v>
      </c>
      <c r="B28" s="4">
        <f t="array" ref="B28:F32">MMULT(B22:Q26,I2:M17)</f>
        <v>0.99999999999999978</v>
      </c>
      <c r="C28" s="4">
        <v>0.9915888794229506</v>
      </c>
      <c r="D28" s="4">
        <v>0.62063339255909644</v>
      </c>
      <c r="E28" s="4">
        <v>0.46474418760067476</v>
      </c>
      <c r="F28" s="4">
        <v>0.97916343297749797</v>
      </c>
      <c r="H28" s="6" t="s">
        <v>16</v>
      </c>
      <c r="I28" s="4">
        <f>MDETERM(B28:F32)</f>
        <v>1.1989677627036721E-5</v>
      </c>
      <c r="J28" s="6" t="s">
        <v>18</v>
      </c>
      <c r="K28" s="4">
        <v>16</v>
      </c>
      <c r="M28" s="7" t="s">
        <v>21</v>
      </c>
      <c r="N28" s="7"/>
      <c r="O28" s="7"/>
      <c r="P28" s="7"/>
    </row>
    <row r="29" spans="1:17" x14ac:dyDescent="0.3">
      <c r="A29" s="4"/>
      <c r="B29" s="4">
        <v>0.9915888794229506</v>
      </c>
      <c r="C29" s="4">
        <v>0.99999999999999989</v>
      </c>
      <c r="D29" s="4">
        <v>0.60426537602748986</v>
      </c>
      <c r="E29" s="4">
        <v>0.44643034677767479</v>
      </c>
      <c r="F29" s="4">
        <v>0.99109083940503806</v>
      </c>
      <c r="H29" s="6" t="s">
        <v>17</v>
      </c>
      <c r="I29" s="4">
        <f>-(K28-1-(2*K29+5)/6)*K30</f>
        <v>141.64330595131997</v>
      </c>
      <c r="J29" s="6" t="s">
        <v>19</v>
      </c>
      <c r="K29" s="4">
        <v>5</v>
      </c>
    </row>
    <row r="30" spans="1:17" x14ac:dyDescent="0.3">
      <c r="A30" s="4"/>
      <c r="B30" s="4">
        <v>0.62063339255909644</v>
      </c>
      <c r="C30" s="4">
        <v>0.60426537602748986</v>
      </c>
      <c r="D30" s="4">
        <v>0.99999999999999989</v>
      </c>
      <c r="E30" s="4">
        <v>-0.17742062950187837</v>
      </c>
      <c r="F30" s="4">
        <v>0.68655151636531209</v>
      </c>
      <c r="H30" s="6" t="s">
        <v>22</v>
      </c>
      <c r="I30" s="5">
        <f>_xlfn.CHISQ.INV.RT(0.05,10)</f>
        <v>18.307038053275146</v>
      </c>
      <c r="J30" s="6" t="s">
        <v>20</v>
      </c>
      <c r="K30" s="4">
        <f>LN(I28)</f>
        <v>-11.331464476105598</v>
      </c>
    </row>
    <row r="31" spans="1:17" x14ac:dyDescent="0.3">
      <c r="A31" s="4"/>
      <c r="B31" s="4">
        <v>0.46474418760067476</v>
      </c>
      <c r="C31" s="4">
        <v>0.44643034677767479</v>
      </c>
      <c r="D31" s="4">
        <v>-0.17742062950187837</v>
      </c>
      <c r="E31" s="4">
        <v>0.99999999999999978</v>
      </c>
      <c r="F31" s="4">
        <v>0.36441626718903197</v>
      </c>
    </row>
    <row r="32" spans="1:17" x14ac:dyDescent="0.3">
      <c r="A32" s="4"/>
      <c r="B32" s="4">
        <v>0.97916343297749797</v>
      </c>
      <c r="C32" s="4">
        <v>0.99109083940503806</v>
      </c>
      <c r="D32" s="4">
        <v>0.68655151636531209</v>
      </c>
      <c r="E32" s="4">
        <v>0.36441626718903197</v>
      </c>
      <c r="F32" s="4">
        <v>1</v>
      </c>
    </row>
  </sheetData>
  <mergeCells count="1">
    <mergeCell ref="M28:P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Farrar &amp; Glauber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Kartik Semwal</cp:lastModifiedBy>
  <cp:revision>0</cp:revision>
  <dcterms:created xsi:type="dcterms:W3CDTF">2026-04-23T11:21:46Z</dcterms:created>
  <dcterms:modified xsi:type="dcterms:W3CDTF">2026-05-23T09:01:12Z</dcterms:modified>
  <dc:language>en-US</dc:language>
</cp:coreProperties>
</file>